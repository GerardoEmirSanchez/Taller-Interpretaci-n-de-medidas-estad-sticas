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anc\OneDrive\Escritorio\"/>
    </mc:Choice>
  </mc:AlternateContent>
  <xr:revisionPtr revIDLastSave="0" documentId="8_{5B2A5F29-0C47-4B34-A837-EC59C5C127D4}" xr6:coauthVersionLast="47" xr6:coauthVersionMax="47" xr10:uidLastSave="{00000000-0000-0000-0000-000000000000}"/>
  <bookViews>
    <workbookView xWindow="-108" yWindow="-108" windowWidth="23256" windowHeight="13896" xr2:uid="{868DB7A5-43EE-4ACB-AD02-713C2F9A50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D18" i="1"/>
  <c r="E18" i="1"/>
  <c r="F18" i="1" s="1"/>
  <c r="D19" i="1"/>
  <c r="E19" i="1"/>
  <c r="D20" i="1"/>
  <c r="E20" i="1"/>
  <c r="F20" i="1"/>
  <c r="D21" i="1"/>
  <c r="E21" i="1"/>
  <c r="F21" i="1" s="1"/>
  <c r="E16" i="1"/>
  <c r="D16" i="1"/>
  <c r="O5" i="1"/>
  <c r="O8" i="1"/>
  <c r="O6" i="1"/>
  <c r="O7" i="1"/>
  <c r="O9" i="1"/>
  <c r="O4" i="1"/>
  <c r="L5" i="1"/>
  <c r="L6" i="1"/>
  <c r="L7" i="1"/>
  <c r="L8" i="1"/>
  <c r="L9" i="1"/>
  <c r="L4" i="1"/>
  <c r="Q12" i="1"/>
  <c r="L12" i="1"/>
  <c r="J5" i="1"/>
  <c r="K5" i="1" s="1"/>
  <c r="I17" i="1" s="1"/>
  <c r="J17" i="1" s="1"/>
  <c r="M17" i="1" s="1"/>
  <c r="J6" i="1"/>
  <c r="K6" i="1" s="1"/>
  <c r="Q6" i="1" s="1"/>
  <c r="J7" i="1"/>
  <c r="K7" i="1" s="1"/>
  <c r="I19" i="1" s="1"/>
  <c r="J19" i="1" s="1"/>
  <c r="M19" i="1" s="1"/>
  <c r="J8" i="1"/>
  <c r="K8" i="1" s="1"/>
  <c r="I20" i="1" s="1"/>
  <c r="J20" i="1" s="1"/>
  <c r="M20" i="1" s="1"/>
  <c r="J9" i="1"/>
  <c r="K9" i="1" s="1"/>
  <c r="Q9" i="1" s="1"/>
  <c r="J4" i="1"/>
  <c r="K4" i="1" s="1"/>
  <c r="F19" i="1" l="1"/>
  <c r="F16" i="1"/>
  <c r="F17" i="1"/>
  <c r="I16" i="1"/>
  <c r="J16" i="1" s="1"/>
  <c r="M16" i="1" s="1"/>
  <c r="Q4" i="1"/>
  <c r="N4" i="1"/>
  <c r="N9" i="1"/>
  <c r="N6" i="1"/>
  <c r="I21" i="1"/>
  <c r="J21" i="1" s="1"/>
  <c r="M21" i="1" s="1"/>
  <c r="I18" i="1"/>
  <c r="J18" i="1" s="1"/>
  <c r="M18" i="1" s="1"/>
  <c r="Q8" i="1"/>
  <c r="N5" i="1"/>
  <c r="N8" i="1"/>
  <c r="Q7" i="1"/>
  <c r="N7" i="1"/>
  <c r="Q5" i="1"/>
</calcChain>
</file>

<file path=xl/sharedStrings.xml><?xml version="1.0" encoding="utf-8"?>
<sst xmlns="http://schemas.openxmlformats.org/spreadsheetml/2006/main" count="53" uniqueCount="48">
  <si>
    <t xml:space="preserve"> </t>
  </si>
  <si>
    <t>Match 1</t>
  </si>
  <si>
    <t>Match 2</t>
  </si>
  <si>
    <t>Match 3</t>
  </si>
  <si>
    <t>Match 4</t>
  </si>
  <si>
    <t>Match 5</t>
  </si>
  <si>
    <t>Match 6</t>
  </si>
  <si>
    <t>Robot</t>
  </si>
  <si>
    <t>Team A</t>
  </si>
  <si>
    <t>Team B</t>
  </si>
  <si>
    <t>Team C</t>
  </si>
  <si>
    <t>Team D</t>
  </si>
  <si>
    <t>Team E</t>
  </si>
  <si>
    <t>Team F</t>
  </si>
  <si>
    <t>Media</t>
  </si>
  <si>
    <t>Suma</t>
  </si>
  <si>
    <t>Mediana</t>
  </si>
  <si>
    <t>Media/Mediana</t>
  </si>
  <si>
    <t>Moda</t>
  </si>
  <si>
    <t>Media/Moda</t>
  </si>
  <si>
    <t>Ligera sobre-estimación por partidos altos</t>
  </si>
  <si>
    <t>Media subestima rendimiento típico</t>
  </si>
  <si>
    <t>Distribución perfectamente simétrica</t>
  </si>
  <si>
    <t>Consistencia perfecta</t>
  </si>
  <si>
    <t>Ligera sobre-estimación</t>
  </si>
  <si>
    <t>Interpretación</t>
  </si>
  <si>
    <t>Apariciones</t>
  </si>
  <si>
    <t>aparece 3 veces</t>
  </si>
  <si>
    <t>aparece 2 veces</t>
  </si>
  <si>
    <t>aparece 4 veces</t>
  </si>
  <si>
    <t>aparece 6 veces</t>
  </si>
  <si>
    <t>Moda General</t>
  </si>
  <si>
    <t>Mediana General</t>
  </si>
  <si>
    <t>5 y 6 (2 veces)</t>
  </si>
  <si>
    <t>8 y 9 (2 veces)</t>
  </si>
  <si>
    <t>Minimo</t>
  </si>
  <si>
    <t>Maximo</t>
  </si>
  <si>
    <t>Rango</t>
  </si>
  <si>
    <t>Confiable</t>
  </si>
  <si>
    <t>Alto riesgo</t>
  </si>
  <si>
    <t>Varianza</t>
  </si>
  <si>
    <t>Desviación estandar</t>
  </si>
  <si>
    <t>Muy Inconsistente</t>
  </si>
  <si>
    <t>Muy Consistente</t>
  </si>
  <si>
    <t>Moderadamente Consistente</t>
  </si>
  <si>
    <t>Perfecto</t>
  </si>
  <si>
    <t>Nivel de Consistencia</t>
  </si>
  <si>
    <t>Coeficiente de 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</si>
</sst>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2" fontId="0" fillId="0" borderId="1" xfId="0" applyNumberForma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E939-E21B-420A-AA5F-54238E02378F}">
  <dimension ref="B2:Q21"/>
  <sheetViews>
    <sheetView tabSelected="1" zoomScaleNormal="100" workbookViewId="0">
      <selection activeCell="L23" sqref="L23"/>
    </sheetView>
  </sheetViews>
  <sheetFormatPr baseColWidth="10" defaultRowHeight="14.4" x14ac:dyDescent="0.3"/>
  <cols>
    <col min="2" max="2" width="7.109375" bestFit="1" customWidth="1"/>
    <col min="3" max="4" width="7.44140625" bestFit="1" customWidth="1"/>
    <col min="5" max="5" width="7.5546875" bestFit="1" customWidth="1"/>
    <col min="6" max="6" width="7.44140625" bestFit="1" customWidth="1"/>
    <col min="7" max="7" width="12.88671875" bestFit="1" customWidth="1"/>
    <col min="8" max="8" width="7.44140625" bestFit="1" customWidth="1"/>
    <col min="9" max="9" width="8.21875" bestFit="1" customWidth="1"/>
    <col min="10" max="10" width="17.88671875" bestFit="1" customWidth="1"/>
    <col min="11" max="11" width="6.109375" bestFit="1" customWidth="1"/>
    <col min="12" max="12" width="24.33203125" bestFit="1" customWidth="1"/>
    <col min="13" max="13" width="34.88671875" bestFit="1" customWidth="1"/>
    <col min="14" max="14" width="13.88671875" bestFit="1" customWidth="1"/>
    <col min="15" max="15" width="5.5546875" bestFit="1" customWidth="1"/>
    <col min="16" max="16" width="14" bestFit="1" customWidth="1"/>
    <col min="17" max="17" width="12.44140625" bestFit="1" customWidth="1"/>
    <col min="18" max="18" width="24.33203125" bestFit="1" customWidth="1"/>
  </cols>
  <sheetData>
    <row r="2" spans="2:17" x14ac:dyDescent="0.3">
      <c r="B2" t="s">
        <v>0</v>
      </c>
    </row>
    <row r="3" spans="2:17" x14ac:dyDescent="0.3">
      <c r="B3" s="2" t="s">
        <v>7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J3" s="2" t="s">
        <v>15</v>
      </c>
      <c r="K3" s="2" t="s">
        <v>14</v>
      </c>
      <c r="L3" s="2" t="s">
        <v>16</v>
      </c>
      <c r="M3" s="2" t="s">
        <v>25</v>
      </c>
      <c r="N3" s="2" t="s">
        <v>17</v>
      </c>
      <c r="O3" s="2" t="s">
        <v>18</v>
      </c>
      <c r="P3" s="2" t="s">
        <v>26</v>
      </c>
      <c r="Q3" s="2" t="s">
        <v>19</v>
      </c>
    </row>
    <row r="4" spans="2:17" x14ac:dyDescent="0.3">
      <c r="B4" s="2" t="s">
        <v>8</v>
      </c>
      <c r="C4" s="1">
        <v>8</v>
      </c>
      <c r="D4" s="1">
        <v>9</v>
      </c>
      <c r="E4" s="1">
        <v>7</v>
      </c>
      <c r="F4" s="1">
        <v>8</v>
      </c>
      <c r="G4" s="1">
        <v>9</v>
      </c>
      <c r="H4" s="1">
        <v>8</v>
      </c>
      <c r="J4" s="1">
        <f>SUM(C4:H4)</f>
        <v>49</v>
      </c>
      <c r="K4" s="3">
        <f>J4/6</f>
        <v>8.1666666666666661</v>
      </c>
      <c r="L4" s="1">
        <f>MEDIAN(C4:H4)</f>
        <v>8</v>
      </c>
      <c r="M4" s="1" t="s">
        <v>20</v>
      </c>
      <c r="N4" s="3">
        <f>K4/L4</f>
        <v>1.0208333333333333</v>
      </c>
      <c r="O4" s="1">
        <f>MODE(C4:H4)</f>
        <v>8</v>
      </c>
      <c r="P4" s="1" t="s">
        <v>27</v>
      </c>
      <c r="Q4" s="3">
        <f>K4/O4</f>
        <v>1.0208333333333333</v>
      </c>
    </row>
    <row r="5" spans="2:17" x14ac:dyDescent="0.3">
      <c r="B5" s="2" t="s">
        <v>9</v>
      </c>
      <c r="C5" s="1">
        <v>6</v>
      </c>
      <c r="D5" s="1">
        <v>10</v>
      </c>
      <c r="E5" s="1">
        <v>5</v>
      </c>
      <c r="F5" s="1">
        <v>9</v>
      </c>
      <c r="G5" s="1">
        <v>4</v>
      </c>
      <c r="H5" s="1">
        <v>10</v>
      </c>
      <c r="J5" s="1">
        <f>SUM(C5:H5)</f>
        <v>44</v>
      </c>
      <c r="K5" s="3">
        <f>J5/6</f>
        <v>7.333333333333333</v>
      </c>
      <c r="L5" s="1">
        <f>MEDIAN(C5:H5)</f>
        <v>7.5</v>
      </c>
      <c r="M5" s="1" t="s">
        <v>21</v>
      </c>
      <c r="N5" s="3">
        <f>K5/L5</f>
        <v>0.97777777777777775</v>
      </c>
      <c r="O5" s="1">
        <f>MODE(C5:H5)</f>
        <v>10</v>
      </c>
      <c r="P5" s="1" t="s">
        <v>28</v>
      </c>
      <c r="Q5" s="3">
        <f>K5/$L$12</f>
        <v>0.91666666666666663</v>
      </c>
    </row>
    <row r="6" spans="2:17" x14ac:dyDescent="0.3">
      <c r="B6" s="2" t="s">
        <v>10</v>
      </c>
      <c r="C6" s="1">
        <v>7</v>
      </c>
      <c r="D6" s="1">
        <v>7</v>
      </c>
      <c r="E6" s="1">
        <v>6</v>
      </c>
      <c r="F6" s="1">
        <v>8</v>
      </c>
      <c r="G6" s="1">
        <v>7</v>
      </c>
      <c r="H6" s="1">
        <v>7</v>
      </c>
      <c r="J6" s="1">
        <f>SUM(C6:H6)</f>
        <v>42</v>
      </c>
      <c r="K6" s="3">
        <f>J6/6</f>
        <v>7</v>
      </c>
      <c r="L6" s="1">
        <f>MEDIAN(C6:H6)</f>
        <v>7</v>
      </c>
      <c r="M6" s="1" t="s">
        <v>22</v>
      </c>
      <c r="N6" s="3">
        <f>K6/L6</f>
        <v>1</v>
      </c>
      <c r="O6" s="1">
        <f>MODE(C6:H6)</f>
        <v>7</v>
      </c>
      <c r="P6" s="1" t="s">
        <v>29</v>
      </c>
      <c r="Q6" s="3">
        <f>K6/$L$12</f>
        <v>0.875</v>
      </c>
    </row>
    <row r="7" spans="2:17" x14ac:dyDescent="0.3">
      <c r="B7" s="2" t="s">
        <v>11</v>
      </c>
      <c r="C7" s="1">
        <v>9</v>
      </c>
      <c r="D7" s="1">
        <v>9</v>
      </c>
      <c r="E7" s="1">
        <v>9</v>
      </c>
      <c r="F7" s="1">
        <v>9</v>
      </c>
      <c r="G7" s="1">
        <v>9</v>
      </c>
      <c r="H7" s="1">
        <v>9</v>
      </c>
      <c r="J7" s="1">
        <f>SUM(C7:H7)</f>
        <v>54</v>
      </c>
      <c r="K7" s="3">
        <f>J7/6</f>
        <v>9</v>
      </c>
      <c r="L7" s="1">
        <f>MEDIAN(C7:H7)</f>
        <v>9</v>
      </c>
      <c r="M7" s="1" t="s">
        <v>23</v>
      </c>
      <c r="N7" s="3">
        <f>K7/L7</f>
        <v>1</v>
      </c>
      <c r="O7" s="1">
        <f>MODE(C7:H7)</f>
        <v>9</v>
      </c>
      <c r="P7" s="1" t="s">
        <v>30</v>
      </c>
      <c r="Q7" s="3">
        <f>K7/$L$12</f>
        <v>1.125</v>
      </c>
    </row>
    <row r="8" spans="2:17" x14ac:dyDescent="0.3">
      <c r="B8" s="2" t="s">
        <v>12</v>
      </c>
      <c r="C8" s="1">
        <v>5</v>
      </c>
      <c r="D8" s="1">
        <v>8</v>
      </c>
      <c r="E8" s="1">
        <v>6</v>
      </c>
      <c r="F8" s="1">
        <v>7</v>
      </c>
      <c r="G8" s="1">
        <v>5</v>
      </c>
      <c r="H8" s="1">
        <v>6</v>
      </c>
      <c r="J8" s="1">
        <f>SUM(C8:H8)</f>
        <v>37</v>
      </c>
      <c r="K8" s="3">
        <f>J8/6</f>
        <v>6.166666666666667</v>
      </c>
      <c r="L8" s="1">
        <f>MEDIAN(C8:H8)</f>
        <v>6</v>
      </c>
      <c r="M8" s="1" t="s">
        <v>24</v>
      </c>
      <c r="N8" s="3">
        <f>K8/L8</f>
        <v>1.0277777777777779</v>
      </c>
      <c r="O8" s="1">
        <f>MODE(C8:H8)</f>
        <v>5</v>
      </c>
      <c r="P8" s="1" t="s">
        <v>33</v>
      </c>
      <c r="Q8" s="3">
        <f>K8/$L$12</f>
        <v>0.77083333333333337</v>
      </c>
    </row>
    <row r="9" spans="2:17" x14ac:dyDescent="0.3">
      <c r="B9" s="2" t="s">
        <v>13</v>
      </c>
      <c r="C9" s="1">
        <v>8</v>
      </c>
      <c r="D9" s="1">
        <v>7</v>
      </c>
      <c r="E9" s="1">
        <v>9</v>
      </c>
      <c r="F9" s="1">
        <v>8</v>
      </c>
      <c r="G9" s="1">
        <v>8</v>
      </c>
      <c r="H9" s="1">
        <v>9</v>
      </c>
      <c r="J9" s="1">
        <f>SUM(C9:H9)</f>
        <v>49</v>
      </c>
      <c r="K9" s="3">
        <f>J9/6</f>
        <v>8.1666666666666661</v>
      </c>
      <c r="L9" s="1">
        <f>MEDIAN(C9:H9)</f>
        <v>8</v>
      </c>
      <c r="M9" s="1" t="s">
        <v>24</v>
      </c>
      <c r="N9" s="3">
        <f>K9/L9</f>
        <v>1.0208333333333333</v>
      </c>
      <c r="O9" s="1">
        <f>MODE(C9:H9)</f>
        <v>8</v>
      </c>
      <c r="P9" s="1" t="s">
        <v>34</v>
      </c>
      <c r="Q9" s="3">
        <f>K9/$L$12</f>
        <v>1.0208333333333333</v>
      </c>
    </row>
    <row r="11" spans="2:17" x14ac:dyDescent="0.3">
      <c r="L11" s="2" t="s">
        <v>32</v>
      </c>
      <c r="Q11" s="2" t="s">
        <v>31</v>
      </c>
    </row>
    <row r="12" spans="2:17" x14ac:dyDescent="0.3">
      <c r="L12" s="1">
        <f>MEDIAN(C4:H9)</f>
        <v>8</v>
      </c>
      <c r="Q12" s="1">
        <f>MODE(D4:I9)</f>
        <v>9</v>
      </c>
    </row>
    <row r="15" spans="2:17" x14ac:dyDescent="0.3">
      <c r="D15" s="2" t="s">
        <v>35</v>
      </c>
      <c r="E15" s="2" t="s">
        <v>36</v>
      </c>
      <c r="F15" s="2" t="s">
        <v>37</v>
      </c>
      <c r="G15" s="2" t="s">
        <v>25</v>
      </c>
      <c r="I15" s="2" t="s">
        <v>40</v>
      </c>
      <c r="J15" s="2" t="s">
        <v>41</v>
      </c>
      <c r="K15" s="2" t="s">
        <v>37</v>
      </c>
      <c r="L15" s="2" t="s">
        <v>46</v>
      </c>
      <c r="M15" s="2" t="s">
        <v>47</v>
      </c>
    </row>
    <row r="16" spans="2:17" x14ac:dyDescent="0.3">
      <c r="D16" s="1">
        <f>MIN(C4:H4)</f>
        <v>7</v>
      </c>
      <c r="E16" s="1">
        <f>MAX(C4:H4)</f>
        <v>9</v>
      </c>
      <c r="F16" s="1">
        <f>E16-D16</f>
        <v>2</v>
      </c>
      <c r="G16" s="1"/>
      <c r="I16" s="3">
        <f>((C4-K4)^2+(D4-K4)^2+(E4-K4)^2+(F4-K4)^2+(G4-K4)^2+(H4-K4)^2)/6</f>
        <v>0.47222222222222232</v>
      </c>
      <c r="J16" s="3">
        <f>SQRT(I16)</f>
        <v>0.68718427093627688</v>
      </c>
      <c r="K16" s="1">
        <v>2</v>
      </c>
      <c r="L16" s="1" t="s">
        <v>43</v>
      </c>
      <c r="M16" s="4">
        <f>J16/K4</f>
        <v>8.4145012767707375E-2</v>
      </c>
    </row>
    <row r="17" spans="4:13" x14ac:dyDescent="0.3">
      <c r="D17" s="1">
        <f>MIN(C5:H5)</f>
        <v>4</v>
      </c>
      <c r="E17" s="1">
        <f>MAX(C5:H5)</f>
        <v>10</v>
      </c>
      <c r="F17" s="1">
        <f>E17-D17</f>
        <v>6</v>
      </c>
      <c r="G17" s="1" t="s">
        <v>39</v>
      </c>
      <c r="I17" s="3">
        <f>((C5-K5)^2+(D5-K5)^2+(E5-K5)^2+(F5-K5)^2+(G5-K5)^2+(H5-K5)^2)/6</f>
        <v>5.8888888888888893</v>
      </c>
      <c r="J17" s="3">
        <f t="shared" ref="J17:J21" si="0">SQRT(I17)</f>
        <v>2.4267032964268394</v>
      </c>
      <c r="K17" s="1">
        <v>6</v>
      </c>
      <c r="L17" s="1" t="s">
        <v>42</v>
      </c>
      <c r="M17" s="4">
        <f>J17/K5</f>
        <v>0.33091408587638721</v>
      </c>
    </row>
    <row r="18" spans="4:13" x14ac:dyDescent="0.3">
      <c r="D18" s="1">
        <f>MIN(C6:H6)</f>
        <v>6</v>
      </c>
      <c r="E18" s="1">
        <f>MAX(C6:H6)</f>
        <v>8</v>
      </c>
      <c r="F18" s="1">
        <f>E18-D18</f>
        <v>2</v>
      </c>
      <c r="G18" s="1"/>
      <c r="I18" s="3">
        <f>((C6-K6)^2+(D6-K6)^2+(E6-K6)^2+(F6-K6)^2+(G6-K6)^2+(H6-K6)^2)/6</f>
        <v>0.33333333333333331</v>
      </c>
      <c r="J18" s="3">
        <f t="shared" si="0"/>
        <v>0.57735026918962573</v>
      </c>
      <c r="K18" s="1">
        <v>2</v>
      </c>
      <c r="L18" s="1" t="s">
        <v>43</v>
      </c>
      <c r="M18" s="4">
        <f>J18/K6</f>
        <v>8.2478609884232251E-2</v>
      </c>
    </row>
    <row r="19" spans="4:13" x14ac:dyDescent="0.3">
      <c r="D19" s="1">
        <f>MIN(C7:H7)</f>
        <v>9</v>
      </c>
      <c r="E19" s="1">
        <f>MAX(C7:H7)</f>
        <v>9</v>
      </c>
      <c r="F19" s="1">
        <f>E19-D19</f>
        <v>0</v>
      </c>
      <c r="G19" s="1" t="s">
        <v>38</v>
      </c>
      <c r="I19" s="3">
        <f>((C7-K7)^2+(D7-K7)^2+(E7-K7)^2+(F7-K7)^2+(G7-K7)^2+(H7-K7)^2)/6</f>
        <v>0</v>
      </c>
      <c r="J19" s="3">
        <f t="shared" si="0"/>
        <v>0</v>
      </c>
      <c r="K19" s="1">
        <v>0</v>
      </c>
      <c r="L19" s="1" t="s">
        <v>45</v>
      </c>
      <c r="M19" s="4">
        <f>J19/K7</f>
        <v>0</v>
      </c>
    </row>
    <row r="20" spans="4:13" x14ac:dyDescent="0.3">
      <c r="D20" s="1">
        <f>MIN(C8:H8)</f>
        <v>5</v>
      </c>
      <c r="E20" s="1">
        <f>MAX(C8:H8)</f>
        <v>8</v>
      </c>
      <c r="F20" s="1">
        <f>E20-D20</f>
        <v>3</v>
      </c>
      <c r="G20" s="1"/>
      <c r="I20" s="3">
        <f>((C8-K8)^2+(D8-K8)^2+(E8-K8)^2+(F8-K8)^2+(G8-K8)^2+(H8-K8)^2)/6</f>
        <v>1.1388888888888886</v>
      </c>
      <c r="J20" s="3">
        <f t="shared" si="0"/>
        <v>1.0671873729054746</v>
      </c>
      <c r="K20" s="1">
        <v>3</v>
      </c>
      <c r="L20" s="1" t="s">
        <v>44</v>
      </c>
      <c r="M20" s="4">
        <f>J20/K8</f>
        <v>0.17305741182250939</v>
      </c>
    </row>
    <row r="21" spans="4:13" x14ac:dyDescent="0.3">
      <c r="D21" s="1">
        <f>MIN(C9:H9)</f>
        <v>7</v>
      </c>
      <c r="E21" s="1">
        <f>MAX(C9:H9)</f>
        <v>9</v>
      </c>
      <c r="F21" s="1">
        <f>E21-D21</f>
        <v>2</v>
      </c>
      <c r="G21" s="1"/>
      <c r="I21" s="3">
        <f>((C9-K9)^2+(D9-K9)^2+(E9-K9)^2+(F9-K9)^2+(G9-K9)^2+(H9-K9)^2)/6</f>
        <v>0.47222222222222232</v>
      </c>
      <c r="J21" s="3">
        <f t="shared" si="0"/>
        <v>0.68718427093627688</v>
      </c>
      <c r="K21" s="1">
        <v>2</v>
      </c>
      <c r="L21" s="1" t="s">
        <v>43</v>
      </c>
      <c r="M21" s="4">
        <f>J21/K9</f>
        <v>8.4145012767707375E-2</v>
      </c>
    </row>
  </sheetData>
  <conditionalFormatting sqref="M16:M2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K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6:J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4FC3461F2AC4F4BA2836F4D0AC13E80" ma:contentTypeVersion="14" ma:contentTypeDescription="Crear nuevo documento." ma:contentTypeScope="" ma:versionID="81a64348065b6df69861a85b507d93f3">
  <xsd:schema xmlns:xsd="http://www.w3.org/2001/XMLSchema" xmlns:xs="http://www.w3.org/2001/XMLSchema" xmlns:p="http://schemas.microsoft.com/office/2006/metadata/properties" xmlns:ns3="5e384170-d775-4ba9-97e7-5bcdd8a4b324" xmlns:ns4="027c0a90-f03e-4f26-9c9c-7e686b0c0b2d" targetNamespace="http://schemas.microsoft.com/office/2006/metadata/properties" ma:root="true" ma:fieldsID="164526dc9b6d5a9d9cba3a859fbfada5" ns3:_="" ns4:_="">
    <xsd:import namespace="5e384170-d775-4ba9-97e7-5bcdd8a4b324"/>
    <xsd:import namespace="027c0a90-f03e-4f26-9c9c-7e686b0c0b2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84170-d775-4ba9-97e7-5bcdd8a4b3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c0a90-f03e-4f26-9c9c-7e686b0c0b2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384170-d775-4ba9-97e7-5bcdd8a4b324" xsi:nil="true"/>
  </documentManagement>
</p:properties>
</file>

<file path=customXml/itemProps1.xml><?xml version="1.0" encoding="utf-8"?>
<ds:datastoreItem xmlns:ds="http://schemas.openxmlformats.org/officeDocument/2006/customXml" ds:itemID="{B28A0FC1-E4DB-4F84-8B99-5689CEFF60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384170-d775-4ba9-97e7-5bcdd8a4b324"/>
    <ds:schemaRef ds:uri="027c0a90-f03e-4f26-9c9c-7e686b0c0b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63FD6C-FB04-4D08-9BA3-43A1058A23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A4AC2E-99DE-4C95-9CDC-B13143C87B83}">
  <ds:schemaRefs>
    <ds:schemaRef ds:uri="027c0a90-f03e-4f26-9c9c-7e686b0c0b2d"/>
    <ds:schemaRef ds:uri="http://purl.org/dc/dcmitype/"/>
    <ds:schemaRef ds:uri="http://www.w3.org/XML/1998/namespace"/>
    <ds:schemaRef ds:uri="http://schemas.microsoft.com/office/2006/documentManagement/types"/>
    <ds:schemaRef ds:uri="5e384170-d775-4ba9-97e7-5bcdd8a4b324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Emir Sánchez Valdés</dc:creator>
  <cp:lastModifiedBy>Gerardo Emir Sánchez Valdés</cp:lastModifiedBy>
  <dcterms:created xsi:type="dcterms:W3CDTF">2025-11-25T21:23:29Z</dcterms:created>
  <dcterms:modified xsi:type="dcterms:W3CDTF">2025-11-25T22:34:28Z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0x01010054FC3461F2AC4F4BA2836F4D0AC13E80</vt:lpwstr>
  </property>
</Properties>
</file>